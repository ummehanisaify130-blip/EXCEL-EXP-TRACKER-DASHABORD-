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01cedbded99667/Documents/"/>
    </mc:Choice>
  </mc:AlternateContent>
  <xr:revisionPtr revIDLastSave="344" documentId="8_{50DAF2CF-84B1-415A-BD38-92F7066FF892}" xr6:coauthVersionLast="47" xr6:coauthVersionMax="47" xr10:uidLastSave="{A42F181F-F25D-4E7D-A4FC-1EDDB7010C6A}"/>
  <bookViews>
    <workbookView xWindow="-108" yWindow="-108" windowWidth="23256" windowHeight="12456" activeTab="1" xr2:uid="{9AF9EA23-39EB-486E-A814-8BF08DBC8EBC}"/>
  </bookViews>
  <sheets>
    <sheet name="Data " sheetId="1" r:id="rId1"/>
    <sheet name="Dashboard " sheetId="2" r:id="rId2"/>
    <sheet name="Summary " sheetId="3" r:id="rId3"/>
  </sheets>
  <definedNames>
    <definedName name="_xlnm._FilterDatabase" localSheetId="0" hidden="1">'Data 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C9" i="3"/>
  <c r="C8" i="3"/>
  <c r="C7" i="3"/>
  <c r="C6" i="3"/>
  <c r="C5" i="3"/>
  <c r="C4" i="3"/>
  <c r="C3" i="3"/>
  <c r="C2" i="3"/>
  <c r="B9" i="3"/>
  <c r="B8" i="3"/>
  <c r="B7" i="3"/>
  <c r="B6" i="3"/>
  <c r="B5" i="3"/>
  <c r="B3" i="3"/>
  <c r="B4" i="3"/>
  <c r="B2" i="3"/>
  <c r="A2" i="3" a="1"/>
  <c r="B10" i="3" l="1"/>
  <c r="D5" i="3" l="1"/>
  <c r="D3" i="3"/>
  <c r="D4" i="3"/>
  <c r="D2" i="3"/>
  <c r="D9" i="3"/>
  <c r="D8" i="3"/>
  <c r="D7" i="3"/>
  <c r="D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<sst xmlns="http://schemas.openxmlformats.org/spreadsheetml/2006/main" count="71" uniqueCount="29">
  <si>
    <t xml:space="preserve">Date </t>
  </si>
  <si>
    <t>Category</t>
  </si>
  <si>
    <t xml:space="preserve"> Category </t>
  </si>
  <si>
    <t xml:space="preserve"> Amount </t>
  </si>
  <si>
    <t xml:space="preserve"> Payment Mode</t>
  </si>
  <si>
    <t xml:space="preserve"> Food </t>
  </si>
  <si>
    <t xml:space="preserve"> UPI</t>
  </si>
  <si>
    <t xml:space="preserve"> Travel </t>
  </si>
  <si>
    <t xml:space="preserve"> Cash</t>
  </si>
  <si>
    <t xml:space="preserve"> Recharge </t>
  </si>
  <si>
    <t xml:space="preserve"> Stationery </t>
  </si>
  <si>
    <t xml:space="preserve"> Chai/Snacks </t>
  </si>
  <si>
    <t xml:space="preserve"> Masjid Donation </t>
  </si>
  <si>
    <t xml:space="preserve"> Mobile Data </t>
  </si>
  <si>
    <t xml:space="preserve"> Books </t>
  </si>
  <si>
    <t>Total</t>
  </si>
  <si>
    <t>Count</t>
  </si>
  <si>
    <t>GRAND TOTAL</t>
  </si>
  <si>
    <t>AVERAGE</t>
  </si>
  <si>
    <t>HIGHEST SPEND</t>
  </si>
  <si>
    <t>%</t>
  </si>
  <si>
    <t>Food</t>
  </si>
  <si>
    <t>Travel</t>
  </si>
  <si>
    <t>Recharge</t>
  </si>
  <si>
    <t>Stationary</t>
  </si>
  <si>
    <t>Chai/snack</t>
  </si>
  <si>
    <t>Masjid Donation</t>
  </si>
  <si>
    <t>Mobile data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</si>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</sst>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/>
    <xf numFmtId="0" fontId="0" fillId="0" borderId="1" xfId="0" applyBorder="1" applyAlignment="1"/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vertical="center"/>
    </xf>
    <xf numFmtId="0" fontId="1" fillId="2" borderId="4" xfId="0" applyFont="1" applyFill="1" applyBorder="1"/>
    <xf numFmtId="0" fontId="0" fillId="3" borderId="5" xfId="0" applyFont="1" applyFill="1" applyBorder="1"/>
    <xf numFmtId="167" fontId="0" fillId="3" borderId="5" xfId="0" applyNumberFormat="1" applyFont="1" applyFill="1" applyBorder="1"/>
    <xf numFmtId="10" fontId="0" fillId="3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EXPESNSE BREAKDOWN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'!$A$2:$A$9</c:f>
              <c:strCache>
                <c:ptCount val="8"/>
                <c:pt idx="0">
                  <c:v> Food </c:v>
                </c:pt>
                <c:pt idx="1">
                  <c:v> Travel </c:v>
                </c:pt>
                <c:pt idx="2">
                  <c:v> Recharge </c:v>
                </c:pt>
                <c:pt idx="3">
                  <c:v> Stationery </c:v>
                </c:pt>
                <c:pt idx="4">
                  <c:v> Chai/Snacks </c:v>
                </c:pt>
                <c:pt idx="5">
                  <c:v> Masjid Donation </c:v>
                </c:pt>
                <c:pt idx="6">
                  <c:v> Mobile Data </c:v>
                </c:pt>
                <c:pt idx="7">
                  <c:v> Books </c:v>
                </c:pt>
              </c:strCache>
            </c:strRef>
          </c:cat>
          <c:val>
            <c:numRef>
              <c:f>'Dashboard '!$B$2:$B$9</c:f>
              <c:numCache>
                <c:formatCode>@</c:formatCode>
                <c:ptCount val="8"/>
                <c:pt idx="0">
                  <c:v>805</c:v>
                </c:pt>
                <c:pt idx="1">
                  <c:v>1850</c:v>
                </c:pt>
                <c:pt idx="2">
                  <c:v>498</c:v>
                </c:pt>
                <c:pt idx="3">
                  <c:v>150</c:v>
                </c:pt>
                <c:pt idx="4">
                  <c:v>130</c:v>
                </c:pt>
                <c:pt idx="5">
                  <c:v>100</c:v>
                </c:pt>
                <c:pt idx="6">
                  <c:v>149</c:v>
                </c:pt>
                <c:pt idx="7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9-4755-98AB-F1EFE58D1D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EXPENSES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'!$B$13</c:f>
              <c:strCache>
                <c:ptCount val="1"/>
                <c:pt idx="0">
                  <c:v>Count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'Dashboard '!$A$14:$A$21</c:f>
              <c:strCache>
                <c:ptCount val="8"/>
                <c:pt idx="0">
                  <c:v>Food</c:v>
                </c:pt>
                <c:pt idx="1">
                  <c:v>Travel</c:v>
                </c:pt>
                <c:pt idx="2">
                  <c:v>Recharge</c:v>
                </c:pt>
                <c:pt idx="3">
                  <c:v>Stationary</c:v>
                </c:pt>
                <c:pt idx="4">
                  <c:v>Chai/snack</c:v>
                </c:pt>
                <c:pt idx="5">
                  <c:v>Masjid Donation</c:v>
                </c:pt>
                <c:pt idx="6">
                  <c:v>Mobile data</c:v>
                </c:pt>
                <c:pt idx="7">
                  <c:v>Books</c:v>
                </c:pt>
              </c:strCache>
            </c:strRef>
          </c:cat>
          <c:val>
            <c:numRef>
              <c:f>'Dashboard '!$B$14:$B$21</c:f>
              <c:numCache>
                <c:formatCode>@</c:formatCode>
                <c:ptCount val="8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6-4403-A45C-5F5FAD00D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8116656"/>
        <c:axId val="172893104"/>
      </c:barChart>
      <c:catAx>
        <c:axId val="178116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93104"/>
        <c:crosses val="autoZero"/>
        <c:auto val="1"/>
        <c:lblAlgn val="ctr"/>
        <c:lblOffset val="100"/>
        <c:noMultiLvlLbl val="0"/>
      </c:catAx>
      <c:valAx>
        <c:axId val="172893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572438</xdr:colOff>
      <xdr:row>0</xdr:row>
      <xdr:rowOff>27214</xdr:rowOff>
    </xdr:from>
    <xdr:to>
      <xdr:col>6</xdr:col>
      <xdr:colOff>362683</xdr:colOff>
      <xdr:row>12</xdr:row>
      <xdr:rowOff>29308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035C7-FF71-C582-04A8-3E48F51E6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544024</xdr:colOff>
      <xdr:row>13</xdr:row>
      <xdr:rowOff>137746</xdr:rowOff>
    </xdr:from>
    <xdr:to>
      <xdr:col>6</xdr:col>
      <xdr:colOff>397485</xdr:colOff>
      <xdr:row>28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368FD6-EC89-EC33-5BB7-CD9A73BCD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100401</xdr:colOff>
      <xdr:row>22</xdr:row>
      <xdr:rowOff>38874</xdr:rowOff>
    </xdr:from>
    <xdr:to>
      <xdr:col>2</xdr:col>
      <xdr:colOff>442819</xdr:colOff>
      <xdr:row>27</xdr:row>
      <xdr:rowOff>127147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B6342C-6675-90F6-9408-4C21F169D730}"/>
            </a:ext>
          </a:extLst>
        </xdr:cNvPr>
        <xdr:cNvSpPr txBox="1"/>
      </xdr:nvSpPr>
      <xdr:spPr>
        <a:xfrm>
          <a:off x="200802" y="4102874"/>
          <a:ext cx="2428200" cy="101190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/>
            <a:t>GRAND</a:t>
          </a:r>
          <a:r>
            <a:rPr lang="en-IN" sz="2800" b="1" baseline="0"/>
            <a:t> TOTAL </a:t>
          </a:r>
        </a:p>
        <a:p>
          <a:pPr algn="ctr"/>
          <a:r>
            <a:rPr lang="en-IN" sz="28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₹ 3,902</a:t>
          </a:r>
          <a:r>
            <a:rPr lang="en-IN" sz="2800" b="1">
              <a:solidFill>
                <a:srgbClr val="FF0000"/>
              </a:solidFill>
              <a:effectLst/>
            </a:rPr>
            <a:t> </a:t>
          </a:r>
          <a:endParaRPr lang="en-IN" sz="2800" b="1" baseline="0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05E79-1F7F-42F9-9B65-7A1E2032A468}">
  <dimension ref="A1:D21"/>
  <sheetViews>
    <sheetView zoomScale="112" zoomScaleNormal="246" workbookViewId="0">
      <selection activeCell="F28" sqref="F28"/>
    </sheetView>
  </sheetViews>
  <sheetFormatPr defaultRowHeight="14.4" x14ac:dyDescent="0.3"/>
  <cols>
    <col min="1" max="1" width="12.77734375" customWidth="1"/>
    <col min="2" max="2" width="18.77734375" customWidth="1"/>
    <col min="3" max="3" width="13" customWidth="1"/>
    <col min="4" max="4" width="19.77734375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s="2">
        <v>46290</v>
      </c>
      <c r="B2" s="3" t="s">
        <v>5</v>
      </c>
      <c r="C2" s="3">
        <v>120</v>
      </c>
      <c r="D2" s="3" t="s">
        <v>6</v>
      </c>
    </row>
    <row r="3" spans="1:4" x14ac:dyDescent="0.3">
      <c r="A3" s="2">
        <v>46291</v>
      </c>
      <c r="B3" s="3" t="s">
        <v>7</v>
      </c>
      <c r="C3" s="3">
        <v>250</v>
      </c>
      <c r="D3" s="3" t="s">
        <v>8</v>
      </c>
    </row>
    <row r="4" spans="1:4" x14ac:dyDescent="0.3">
      <c r="A4" s="2">
        <v>46291</v>
      </c>
      <c r="B4" s="3" t="s">
        <v>9</v>
      </c>
      <c r="C4" s="3">
        <v>299</v>
      </c>
      <c r="D4" s="3" t="s">
        <v>6</v>
      </c>
    </row>
    <row r="5" spans="1:4" x14ac:dyDescent="0.3">
      <c r="A5" s="2">
        <v>46292</v>
      </c>
      <c r="B5" s="3" t="s">
        <v>5</v>
      </c>
      <c r="C5" s="3">
        <v>80</v>
      </c>
      <c r="D5" s="3" t="s">
        <v>8</v>
      </c>
    </row>
    <row r="6" spans="1:4" x14ac:dyDescent="0.3">
      <c r="A6" s="2">
        <v>46292</v>
      </c>
      <c r="B6" s="3" t="s">
        <v>10</v>
      </c>
      <c r="C6" s="3">
        <v>150</v>
      </c>
      <c r="D6" s="3" t="s">
        <v>8</v>
      </c>
    </row>
    <row r="7" spans="1:4" x14ac:dyDescent="0.3">
      <c r="A7" s="2">
        <v>46293</v>
      </c>
      <c r="B7" s="3" t="s">
        <v>7</v>
      </c>
      <c r="C7" s="3">
        <v>400</v>
      </c>
      <c r="D7" s="3" t="s">
        <v>6</v>
      </c>
    </row>
    <row r="8" spans="1:4" x14ac:dyDescent="0.3">
      <c r="A8" s="2">
        <v>46293</v>
      </c>
      <c r="B8" s="3" t="s">
        <v>5</v>
      </c>
      <c r="C8" s="3">
        <v>200</v>
      </c>
      <c r="D8" s="3" t="s">
        <v>6</v>
      </c>
    </row>
    <row r="9" spans="1:4" x14ac:dyDescent="0.3">
      <c r="A9" s="2">
        <v>46294</v>
      </c>
      <c r="B9" s="3" t="s">
        <v>11</v>
      </c>
      <c r="C9" s="3">
        <v>60</v>
      </c>
      <c r="D9" s="3" t="s">
        <v>8</v>
      </c>
    </row>
    <row r="10" spans="1:4" x14ac:dyDescent="0.3">
      <c r="A10" s="2">
        <v>46294</v>
      </c>
      <c r="B10" s="3" t="s">
        <v>7</v>
      </c>
      <c r="C10" s="3">
        <v>200</v>
      </c>
      <c r="D10" s="3" t="s">
        <v>8</v>
      </c>
    </row>
    <row r="11" spans="1:4" x14ac:dyDescent="0.3">
      <c r="A11" s="2">
        <v>46295</v>
      </c>
      <c r="B11" s="3" t="s">
        <v>5</v>
      </c>
      <c r="C11" s="3">
        <v>180</v>
      </c>
      <c r="D11" s="3" t="s">
        <v>6</v>
      </c>
    </row>
    <row r="12" spans="1:4" x14ac:dyDescent="0.3">
      <c r="A12" s="2">
        <v>46295</v>
      </c>
      <c r="B12" s="3" t="s">
        <v>7</v>
      </c>
      <c r="C12" s="3">
        <v>350</v>
      </c>
      <c r="D12" s="3" t="s">
        <v>8</v>
      </c>
    </row>
    <row r="13" spans="1:4" x14ac:dyDescent="0.3">
      <c r="A13" s="2">
        <v>46295</v>
      </c>
      <c r="B13" s="3" t="s">
        <v>12</v>
      </c>
      <c r="C13" s="3">
        <v>100</v>
      </c>
      <c r="D13" s="3" t="s">
        <v>8</v>
      </c>
    </row>
    <row r="14" spans="1:4" x14ac:dyDescent="0.3">
      <c r="A14" s="2">
        <v>46295</v>
      </c>
      <c r="B14" s="3" t="s">
        <v>13</v>
      </c>
      <c r="C14" s="3">
        <v>149</v>
      </c>
      <c r="D14" s="3" t="s">
        <v>6</v>
      </c>
    </row>
    <row r="15" spans="1:4" x14ac:dyDescent="0.3">
      <c r="A15" s="2">
        <v>46296</v>
      </c>
      <c r="B15" s="3" t="s">
        <v>5</v>
      </c>
      <c r="C15" s="3">
        <v>95</v>
      </c>
      <c r="D15" s="3" t="s">
        <v>6</v>
      </c>
    </row>
    <row r="16" spans="1:4" x14ac:dyDescent="0.3">
      <c r="A16" s="2">
        <v>46296</v>
      </c>
      <c r="B16" s="3" t="s">
        <v>7</v>
      </c>
      <c r="C16" s="3">
        <v>500</v>
      </c>
      <c r="D16" s="3" t="s">
        <v>8</v>
      </c>
    </row>
    <row r="17" spans="1:4" x14ac:dyDescent="0.3">
      <c r="A17" s="2">
        <v>46296</v>
      </c>
      <c r="B17" s="3" t="s">
        <v>14</v>
      </c>
      <c r="C17" s="3">
        <v>220</v>
      </c>
      <c r="D17" s="3" t="s">
        <v>6</v>
      </c>
    </row>
    <row r="18" spans="1:4" x14ac:dyDescent="0.3">
      <c r="A18" s="2">
        <v>46296</v>
      </c>
      <c r="B18" s="3" t="s">
        <v>5</v>
      </c>
      <c r="C18" s="3">
        <v>130</v>
      </c>
      <c r="D18" s="3" t="s">
        <v>8</v>
      </c>
    </row>
    <row r="19" spans="1:4" x14ac:dyDescent="0.3">
      <c r="A19" s="2">
        <v>46297</v>
      </c>
      <c r="B19" s="3" t="s">
        <v>9</v>
      </c>
      <c r="C19" s="3">
        <v>199</v>
      </c>
      <c r="D19" s="3" t="s">
        <v>6</v>
      </c>
    </row>
    <row r="20" spans="1:4" x14ac:dyDescent="0.3">
      <c r="A20" s="2">
        <v>46297</v>
      </c>
      <c r="B20" s="3" t="s">
        <v>7</v>
      </c>
      <c r="C20" s="3">
        <v>150</v>
      </c>
      <c r="D20" s="3" t="s">
        <v>8</v>
      </c>
    </row>
    <row r="21" spans="1:4" x14ac:dyDescent="0.3">
      <c r="A21" s="2">
        <v>46297</v>
      </c>
      <c r="B21" s="3" t="s">
        <v>11</v>
      </c>
      <c r="C21" s="3">
        <v>70</v>
      </c>
      <c r="D21" s="3" t="s">
        <v>8</v>
      </c>
    </row>
  </sheetData>
  <autoFilter ref="A1:D1" xr:uid="{EC205E79-1F7F-42F9-9B65-7A1E2032A46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42C6-66CD-48D7-A3F5-2F32C369C194}">
  <dimension ref="A1:B21"/>
  <sheetViews>
    <sheetView showFormulas="1" tabSelected="1" zoomScale="74" zoomScaleNormal="56" workbookViewId="0">
      <selection activeCell="H43" sqref="H43"/>
    </sheetView>
  </sheetViews>
  <sheetFormatPr defaultRowHeight="14.4" x14ac:dyDescent="0.3"/>
  <cols>
    <col min="1" max="1" width="9.88671875" customWidth="1"/>
    <col min="2" max="2" width="7.5546875" customWidth="1"/>
    <col min="7" max="7" width="8.88671875" customWidth="1"/>
  </cols>
  <sheetData>
    <row r="1" spans="1:2" ht="19.95" customHeight="1" x14ac:dyDescent="0.3">
      <c r="A1" s="5" t="s">
        <v>1</v>
      </c>
      <c r="B1" s="5" t="s">
        <v>15</v>
      </c>
    </row>
    <row r="2" spans="1:2" ht="19.95" customHeight="1" x14ac:dyDescent="0.3">
      <c r="A2" s="6" t="s">
        <v>5</v>
      </c>
      <c r="B2" s="9">
        <v>805</v>
      </c>
    </row>
    <row r="3" spans="1:2" ht="19.95" customHeight="1" x14ac:dyDescent="0.3">
      <c r="A3" s="6" t="s">
        <v>7</v>
      </c>
      <c r="B3" s="8">
        <v>1850</v>
      </c>
    </row>
    <row r="4" spans="1:2" ht="19.95" customHeight="1" x14ac:dyDescent="0.3">
      <c r="A4" s="6" t="s">
        <v>9</v>
      </c>
      <c r="B4" s="8">
        <v>498</v>
      </c>
    </row>
    <row r="5" spans="1:2" ht="19.95" customHeight="1" x14ac:dyDescent="0.3">
      <c r="A5" s="6" t="s">
        <v>10</v>
      </c>
      <c r="B5" s="8">
        <v>150</v>
      </c>
    </row>
    <row r="6" spans="1:2" ht="19.95" customHeight="1" x14ac:dyDescent="0.3">
      <c r="A6" s="6" t="s">
        <v>11</v>
      </c>
      <c r="B6" s="8">
        <v>130</v>
      </c>
    </row>
    <row r="7" spans="1:2" ht="19.95" customHeight="1" x14ac:dyDescent="0.3">
      <c r="A7" s="6" t="s">
        <v>12</v>
      </c>
      <c r="B7" s="8">
        <v>100</v>
      </c>
    </row>
    <row r="8" spans="1:2" ht="19.95" customHeight="1" x14ac:dyDescent="0.3">
      <c r="A8" s="6" t="s">
        <v>13</v>
      </c>
      <c r="B8" s="8">
        <v>149</v>
      </c>
    </row>
    <row r="9" spans="1:2" ht="19.95" customHeight="1" x14ac:dyDescent="0.3">
      <c r="A9" s="6" t="s">
        <v>14</v>
      </c>
      <c r="B9" s="8">
        <v>220</v>
      </c>
    </row>
    <row r="10" spans="1:2" ht="18" x14ac:dyDescent="0.3">
      <c r="A10" s="7"/>
      <c r="B10" s="7"/>
    </row>
    <row r="11" spans="1:2" ht="18" x14ac:dyDescent="0.3">
      <c r="A11" s="7"/>
      <c r="B11" s="7"/>
    </row>
    <row r="12" spans="1:2" ht="18" x14ac:dyDescent="0.3">
      <c r="A12" s="7"/>
      <c r="B12" s="7"/>
    </row>
    <row r="13" spans="1:2" ht="19.95" customHeight="1" x14ac:dyDescent="0.3">
      <c r="A13" s="5" t="s">
        <v>1</v>
      </c>
      <c r="B13" s="5" t="s">
        <v>16</v>
      </c>
    </row>
    <row r="14" spans="1:2" ht="19.95" customHeight="1" x14ac:dyDescent="0.3">
      <c r="A14" s="6" t="s">
        <v>21</v>
      </c>
      <c r="B14" s="8">
        <v>6</v>
      </c>
    </row>
    <row r="15" spans="1:2" ht="19.95" customHeight="1" x14ac:dyDescent="0.3">
      <c r="A15" s="6" t="s">
        <v>22</v>
      </c>
      <c r="B15" s="8">
        <v>6</v>
      </c>
    </row>
    <row r="16" spans="1:2" ht="19.95" customHeight="1" x14ac:dyDescent="0.3">
      <c r="A16" s="6" t="s">
        <v>23</v>
      </c>
      <c r="B16" s="8">
        <v>2</v>
      </c>
    </row>
    <row r="17" spans="1:2" ht="19.95" customHeight="1" x14ac:dyDescent="0.3">
      <c r="A17" s="6" t="s">
        <v>24</v>
      </c>
      <c r="B17" s="8">
        <v>1</v>
      </c>
    </row>
    <row r="18" spans="1:2" ht="19.95" customHeight="1" x14ac:dyDescent="0.3">
      <c r="A18" s="6" t="s">
        <v>25</v>
      </c>
      <c r="B18" s="8">
        <v>2</v>
      </c>
    </row>
    <row r="19" spans="1:2" ht="19.95" customHeight="1" x14ac:dyDescent="0.3">
      <c r="A19" s="6" t="s">
        <v>26</v>
      </c>
      <c r="B19" s="8">
        <v>1</v>
      </c>
    </row>
    <row r="20" spans="1:2" ht="19.95" customHeight="1" x14ac:dyDescent="0.3">
      <c r="A20" s="6" t="s">
        <v>27</v>
      </c>
      <c r="B20" s="8">
        <v>1</v>
      </c>
    </row>
    <row r="21" spans="1:2" ht="19.95" customHeight="1" x14ac:dyDescent="0.3">
      <c r="A21" s="6" t="s">
        <v>28</v>
      </c>
      <c r="B21" s="8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B2E9-DDA9-4F45-8E77-2B93E97953D8}">
  <dimension ref="A1:D12"/>
  <sheetViews>
    <sheetView zoomScale="165" zoomScaleNormal="165" workbookViewId="0">
      <selection activeCell="D24" sqref="D24"/>
    </sheetView>
  </sheetViews>
  <sheetFormatPr defaultRowHeight="14.4" x14ac:dyDescent="0.3"/>
  <cols>
    <col min="1" max="1" width="15.44140625" bestFit="1" customWidth="1"/>
    <col min="2" max="2" width="9.44140625" bestFit="1" customWidth="1"/>
  </cols>
  <sheetData>
    <row r="1" spans="1:4" x14ac:dyDescent="0.3">
      <c r="A1" s="10" t="s">
        <v>1</v>
      </c>
      <c r="B1" s="10" t="s">
        <v>15</v>
      </c>
      <c r="C1" s="10" t="s">
        <v>16</v>
      </c>
      <c r="D1" s="4" t="s">
        <v>20</v>
      </c>
    </row>
    <row r="2" spans="1:4" x14ac:dyDescent="0.3">
      <c r="A2" s="11" t="str" cm="1">
        <f t="array" ref="A2:A9">_xlfn.UNIQUE('Data '!B2:B21)</f>
        <v xml:space="preserve"> Food </v>
      </c>
      <c r="B2" s="12">
        <f>SUMIF('Data '!B2:B21,'Data '!B2,'Data '!C2:C22)</f>
        <v>805</v>
      </c>
      <c r="C2" s="11">
        <f>COUNTIF('Data '!B2:B21,A2)</f>
        <v>6</v>
      </c>
      <c r="D2" s="13">
        <f>B2/B10</f>
        <v>0.20630445925166582</v>
      </c>
    </row>
    <row r="3" spans="1:4" x14ac:dyDescent="0.3">
      <c r="A3" s="11" t="str">
        <v xml:space="preserve"> Travel </v>
      </c>
      <c r="B3" s="12">
        <f>SUMIF('Data '!B3:B22,'Data '!B3,'Data '!C3:C23)</f>
        <v>1850</v>
      </c>
      <c r="C3" s="11">
        <f>COUNTIF('Data '!B2:B21,'Summary '!A3)</f>
        <v>6</v>
      </c>
      <c r="D3" s="13">
        <f>B3/B10</f>
        <v>0.47411583803177859</v>
      </c>
    </row>
    <row r="4" spans="1:4" x14ac:dyDescent="0.3">
      <c r="A4" s="11" t="str">
        <v xml:space="preserve"> Recharge </v>
      </c>
      <c r="B4" s="12">
        <f>SUMIF('Data '!B4:B23,'Data '!B4,'Data '!C4:C24)</f>
        <v>498</v>
      </c>
      <c r="C4" s="11">
        <f>COUNTIF('Data '!B2:B21,'Summary '!A4)</f>
        <v>2</v>
      </c>
      <c r="D4" s="13">
        <f>B4/B10</f>
        <v>0.12762685802152743</v>
      </c>
    </row>
    <row r="5" spans="1:4" x14ac:dyDescent="0.3">
      <c r="A5" s="11" t="str">
        <v xml:space="preserve"> Stationery </v>
      </c>
      <c r="B5" s="12">
        <f>SUMIF('Data '!B5:B24,'Data '!B6,'Data '!C5:C25)</f>
        <v>150</v>
      </c>
      <c r="C5" s="11">
        <f>COUNTIF('Data '!B2:B21,A5)</f>
        <v>1</v>
      </c>
      <c r="D5" s="13">
        <f>B5/B10</f>
        <v>3.8441824705279341E-2</v>
      </c>
    </row>
    <row r="6" spans="1:4" x14ac:dyDescent="0.3">
      <c r="A6" s="11" t="str">
        <v xml:space="preserve"> Chai/Snacks </v>
      </c>
      <c r="B6" s="12">
        <f>SUMIF('Data '!B6:B25,'Data '!B9,'Data '!C6:C26)</f>
        <v>130</v>
      </c>
      <c r="C6" s="11">
        <f>COUNTIF('Data '!B2:B21,A6)</f>
        <v>2</v>
      </c>
      <c r="D6" s="13">
        <f>B6/B10</f>
        <v>3.3316248077908762E-2</v>
      </c>
    </row>
    <row r="7" spans="1:4" x14ac:dyDescent="0.3">
      <c r="A7" s="11" t="str">
        <v xml:space="preserve"> Masjid Donation </v>
      </c>
      <c r="B7" s="12">
        <f>SUMIF('Data '!B7:B26,'Data '!B13,'Data '!C7:C27)</f>
        <v>100</v>
      </c>
      <c r="C7" s="11">
        <f>COUNTIF('Data '!B2:B21,A7)</f>
        <v>1</v>
      </c>
      <c r="D7" s="13">
        <f>B7/B10</f>
        <v>2.5627883136852898E-2</v>
      </c>
    </row>
    <row r="8" spans="1:4" x14ac:dyDescent="0.3">
      <c r="A8" s="11" t="str">
        <v xml:space="preserve"> Mobile Data </v>
      </c>
      <c r="B8" s="12">
        <f>SUMIF('Data '!B8:B27,'Data '!B14,'Data '!C8:C28)</f>
        <v>149</v>
      </c>
      <c r="C8" s="11">
        <f>COUNTIF('Data '!B2:B21,A8)</f>
        <v>1</v>
      </c>
      <c r="D8" s="13">
        <f>B8/B10</f>
        <v>3.8185545873910813E-2</v>
      </c>
    </row>
    <row r="9" spans="1:4" x14ac:dyDescent="0.3">
      <c r="A9" s="11" t="str">
        <v xml:space="preserve"> Books </v>
      </c>
      <c r="B9" s="12">
        <f>SUMIF('Data '!B9:B28,'Data '!B17,'Data '!C9:C29)</f>
        <v>220</v>
      </c>
      <c r="C9" s="11">
        <f>COUNTIF('Data '!B2:B21,A9)</f>
        <v>1</v>
      </c>
      <c r="D9" s="13">
        <f>B9/B10</f>
        <v>5.6381342901076374E-2</v>
      </c>
    </row>
    <row r="10" spans="1:4" x14ac:dyDescent="0.3">
      <c r="A10" s="11" t="s">
        <v>17</v>
      </c>
      <c r="B10" s="12">
        <f>SUM(B2:B9)</f>
        <v>3902</v>
      </c>
      <c r="C10" s="11"/>
      <c r="D10" s="11"/>
    </row>
    <row r="11" spans="1:4" x14ac:dyDescent="0.3">
      <c r="A11" s="11" t="s">
        <v>18</v>
      </c>
      <c r="B11" s="12">
        <f>AVERAGE('Data '!C2:C21)</f>
        <v>195.1</v>
      </c>
      <c r="C11" s="11"/>
      <c r="D11" s="11"/>
    </row>
    <row r="12" spans="1:4" x14ac:dyDescent="0.3">
      <c r="A12" s="11" t="s">
        <v>19</v>
      </c>
      <c r="B12" s="12">
        <f>MAX('Data '!C2:C21)</f>
        <v>500</v>
      </c>
      <c r="C12" s="11"/>
      <c r="D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</vt:lpstr>
      <vt:lpstr>Dashboard 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Ummehani Bhopalwala</dc:creator>
  <cp:lastModifiedBy>Ummehani Bhopalwala</cp:lastModifiedBy>
  <dcterms:created xsi:type="dcterms:W3CDTF">2026-09-30T19:31:09Z</dcterms:created>
  <dcterms:modified xsi:type="dcterms:W3CDTF">2026-10-01T10:48:39Z</dcterms:modified>
</cp:coreProperties>
</file>